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maining Gaps" sheetId="1" state="visible" r:id="rId3"/>
    <sheet name="Plan" sheetId="2" state="visible" r:id="rId4"/>
    <sheet name="Lists" sheetId="3" state="hidden" r:id="rId5"/>
  </sheets>
  <definedNames>
    <definedName function="false" hidden="false" name="StatusList" vbProcedure="false">Lists!$A$2:$A$5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<sst xmlns="http://schemas.openxmlformats.org/spreadsheetml/2006/main" count="151" uniqueCount="71">
  <si>
    <t xml:space="preserve">Mobile vs. Web Parity — Remaining Gaps</t>
  </si>
  <si>
    <t xml:space="preserve">#</t>
  </si>
  <si>
    <t xml:space="preserve">Gap</t>
  </si>
  <si>
    <t xml:space="preserve">Detail</t>
  </si>
  <si>
    <t xml:space="preserve">Area</t>
  </si>
  <si>
    <t xml:space="preserve">Severity</t>
  </si>
  <si>
    <t xml:space="preserve">Status</t>
  </si>
  <si>
    <t xml:space="preserve">Notes</t>
  </si>
  <si>
    <t xml:space="preserve">JetBrains Mono not loaded on mobile</t>
  </si>
  <si>
    <t xml:space="preserve">Web uses it for every citation, date and card title. Biggest single visual difference.</t>
  </si>
  <si>
    <t xml:space="preserve">Typography</t>
  </si>
  <si>
    <t xml:space="preserve">High</t>
  </si>
  <si>
    <t xml:space="preserve">Not started</t>
  </si>
  <si>
    <t xml:space="preserve">Screens still on the old colour set</t>
  </si>
  <si>
    <t xml:space="preserve">50 screens on the old colours, only 11 migrated to the new screen-theme.</t>
  </si>
  <si>
    <t xml:space="preserve">Theming</t>
  </si>
  <si>
    <t xml:space="preserve">Home screen doesn't match web</t>
  </si>
  <si>
    <t xml:space="preserve">Out of order, uses a side-scroll carousel, and is missing the Featured Article card and the weekly activity chart.</t>
  </si>
  <si>
    <t xml:space="preserve">Home</t>
  </si>
  <si>
    <t xml:space="preserve">Patterned background missing</t>
  </si>
  <si>
    <t xml:space="preserve">Applied on only 3 screens; web uses it throughout.</t>
  </si>
  <si>
    <t xml:space="preserve">Visual</t>
  </si>
  <si>
    <t xml:space="preserve">Medium</t>
  </si>
  <si>
    <t xml:space="preserve">Two case-card components that have drifted apart</t>
  </si>
  <si>
    <t xml:space="preserve">Duplicated component; needs consolidating into one.</t>
  </si>
  <si>
    <t xml:space="preserve">Components</t>
  </si>
  <si>
    <t xml:space="preserve">Gaps closed</t>
  </si>
  <si>
    <t xml:space="preserve">Status values: Not started / In progress / Blocked / Done</t>
  </si>
  <si>
    <t xml:space="preserve">Delivery Plan</t>
  </si>
  <si>
    <t xml:space="preserve">Day</t>
  </si>
  <si>
    <t xml:space="preserve">Theme</t>
  </si>
  <si>
    <t xml:space="preserve">Task</t>
  </si>
  <si>
    <t xml:space="preserve">Outcome</t>
  </si>
  <si>
    <t xml:space="preserve">Tue</t>
  </si>
  <si>
    <t xml:space="preserve">Foundations</t>
  </si>
  <si>
    <t xml:space="preserve">Load JetBrains Mono</t>
  </si>
  <si>
    <t xml:space="preserve">Nothing visible changes</t>
  </si>
  <si>
    <t xml:space="preserve">Build shared background + card components</t>
  </si>
  <si>
    <t xml:space="preserve">Take fresh web reference screenshots (the ones in the repo are from Feb and already wrong)</t>
  </si>
  <si>
    <t xml:space="preserve">Wed</t>
  </si>
  <si>
    <t xml:space="preserve">Rebuild Home to web's order</t>
  </si>
  <si>
    <t xml:space="preserve">Home matches web</t>
  </si>
  <si>
    <t xml:space="preserve">Replace carousel with a list</t>
  </si>
  <si>
    <t xml:space="preserve">Add Featured Article card and weekly activity chart</t>
  </si>
  <si>
    <t xml:space="preserve">Thu</t>
  </si>
  <si>
    <t xml:space="preserve">Cards &amp; core screens</t>
  </si>
  <si>
    <t xml:space="preserve">One case card everywhere — accent bar, mono meta, purple chips</t>
  </si>
  <si>
    <t xml:space="preserve">Single case card in use</t>
  </si>
  <si>
    <t xml:space="preserve">Restyle Laws</t>
  </si>
  <si>
    <t xml:space="preserve">Restyle Activity</t>
  </si>
  <si>
    <t xml:space="preserve">Fri</t>
  </si>
  <si>
    <t xml:space="preserve">Sweep the rest</t>
  </si>
  <si>
    <t xml:space="preserve">Nuggets</t>
  </si>
  <si>
    <t xml:space="preserve">Remaining screens on new theme</t>
  </si>
  <si>
    <t xml:space="preserve">Articles</t>
  </si>
  <si>
    <t xml:space="preserve">Bookmarks</t>
  </si>
  <si>
    <t xml:space="preserve">Folders</t>
  </si>
  <si>
    <t xml:space="preserve">Subject matter</t>
  </si>
  <si>
    <t xml:space="preserve">Bye-laws</t>
  </si>
  <si>
    <t xml:space="preserve">Mon</t>
  </si>
  <si>
    <t xml:space="preserve">Polish &amp; QA</t>
  </si>
  <si>
    <t xml:space="preserve">Settings sub-pages</t>
  </si>
  <si>
    <t xml:space="preserve">Sign-off</t>
  </si>
  <si>
    <t xml:space="preserve">Ask DL resource chips</t>
  </si>
  <si>
    <t xml:space="preserve">Full QA — small and large phones, light and dark, big font</t>
  </si>
  <si>
    <t xml:space="preserve">Tasks complete</t>
  </si>
  <si>
    <t xml:space="preserve">% complete</t>
  </si>
  <si>
    <t xml:space="preserve">Source list for the Status dropdowns. Edit here to change the options everywhere.</t>
  </si>
  <si>
    <t xml:space="preserve">In progress</t>
  </si>
  <si>
    <t xml:space="preserve">Blocked</t>
  </si>
  <si>
    <t xml:space="preserve">Done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</si>
</sst>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3B5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F3B52"/>
        <bgColor rgb="FF333399"/>
      </patternFill>
    </fill>
    <fill>
      <patternFill patternType="solid">
        <fgColor rgb="FFEAF1F8"/>
        <bgColor rgb="FFEFEFEF"/>
      </patternFill>
    </fill>
    <fill>
      <patternFill patternType="solid">
        <fgColor rgb="FFEDF6EE"/>
        <bgColor rgb="FFEAF1F8"/>
      </patternFill>
    </fill>
    <fill>
      <patternFill patternType="solid">
        <fgColor rgb="FFFDF3E6"/>
        <bgColor rgb="FFFBEDED"/>
      </patternFill>
    </fill>
    <fill>
      <patternFill patternType="solid">
        <fgColor rgb="FFF3EEF9"/>
        <bgColor rgb="FFEFEFEF"/>
      </patternFill>
    </fill>
    <fill>
      <patternFill patternType="solid">
        <fgColor rgb="FFFBEDED"/>
        <bgColor rgb="FFFDF3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6B6B6B"/>
        <sz val="11"/>
      </font>
      <fill>
        <patternFill>
          <bgColor rgb="FFEFEFEF"/>
        </patternFill>
      </fill>
    </dxf>
    <dxf>
      <font>
        <name val="Arial"/>
        <charset val="1"/>
        <family val="0"/>
        <b val="1"/>
        <color rgb="FF8A6100"/>
        <sz val="11"/>
      </font>
      <fill>
        <patternFill>
          <bgColor rgb="FFFFF0CC"/>
        </patternFill>
      </fill>
    </dxf>
    <dxf>
      <font>
        <name val="Arial"/>
        <charset val="1"/>
        <family val="0"/>
        <b val="1"/>
        <color rgb="FFA32020"/>
        <sz val="11"/>
      </font>
      <fill>
        <patternFill>
          <bgColor rgb="FFFBDDDD"/>
        </patternFill>
      </fill>
    </dxf>
    <dxf>
      <font>
        <name val="Arial"/>
        <charset val="1"/>
        <family val="0"/>
        <b val="1"/>
        <color rgb="FF1E7A34"/>
        <sz val="11"/>
      </font>
      <fill>
        <patternFill>
          <bgColor rgb="FFDDF2E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A34"/>
      <rgbColor rgb="FF000080"/>
      <rgbColor rgb="FF8A6100"/>
      <rgbColor rgb="FF800080"/>
      <rgbColor rgb="FF008080"/>
      <rgbColor rgb="FFBFBFBF"/>
      <rgbColor rgb="FF808080"/>
      <rgbColor rgb="FF9999FF"/>
      <rgbColor rgb="FF993366"/>
      <rgbColor rgb="FFFFF0CC"/>
      <rgbColor rgb="FFEAF1F8"/>
      <rgbColor rgb="FF660066"/>
      <rgbColor rgb="FFFF8080"/>
      <rgbColor rgb="FF0066CC"/>
      <rgbColor rgb="FFEFEF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6EE"/>
      <rgbColor rgb="FFDDF2E1"/>
      <rgbColor rgb="FFFDF3E6"/>
      <rgbColor rgb="FFF3EEF9"/>
      <rgbColor rgb="FFFBEDED"/>
      <rgbColor rgb="FFCC99FF"/>
      <rgbColor rgb="FFFBDDDD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2F3B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58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45" hidden="false" customHeight="true" outlineLevel="0" collapsed="false">
      <c r="A4" s="3" t="n">
        <v>1</v>
      </c>
      <c r="B4" s="4" t="s">
        <v>8</v>
      </c>
      <c r="C4" s="5" t="s">
        <v>9</v>
      </c>
      <c r="D4" s="5" t="s">
        <v>10</v>
      </c>
      <c r="E4" s="3" t="s">
        <v>11</v>
      </c>
      <c r="F4" s="3" t="s">
        <v>12</v>
      </c>
      <c r="G4" s="5"/>
    </row>
    <row r="5" customFormat="false" ht="45" hidden="false" customHeight="true" outlineLevel="0" collapsed="false">
      <c r="A5" s="3" t="n">
        <v>2</v>
      </c>
      <c r="B5" s="4" t="s">
        <v>13</v>
      </c>
      <c r="C5" s="5" t="s">
        <v>14</v>
      </c>
      <c r="D5" s="5" t="s">
        <v>15</v>
      </c>
      <c r="E5" s="3" t="s">
        <v>11</v>
      </c>
      <c r="F5" s="3" t="s">
        <v>12</v>
      </c>
      <c r="G5" s="5"/>
    </row>
    <row r="6" customFormat="false" ht="45" hidden="false" customHeight="true" outlineLevel="0" collapsed="false">
      <c r="A6" s="3" t="n">
        <v>3</v>
      </c>
      <c r="B6" s="4" t="s">
        <v>16</v>
      </c>
      <c r="C6" s="5" t="s">
        <v>17</v>
      </c>
      <c r="D6" s="5" t="s">
        <v>18</v>
      </c>
      <c r="E6" s="3" t="s">
        <v>11</v>
      </c>
      <c r="F6" s="3" t="s">
        <v>12</v>
      </c>
      <c r="G6" s="5"/>
    </row>
    <row r="7" customFormat="false" ht="45" hidden="false" customHeight="true" outlineLevel="0" collapsed="false">
      <c r="A7" s="3" t="n">
        <v>4</v>
      </c>
      <c r="B7" s="4" t="s">
        <v>19</v>
      </c>
      <c r="C7" s="5" t="s">
        <v>20</v>
      </c>
      <c r="D7" s="5" t="s">
        <v>21</v>
      </c>
      <c r="E7" s="3" t="s">
        <v>22</v>
      </c>
      <c r="F7" s="3" t="s">
        <v>12</v>
      </c>
      <c r="G7" s="5"/>
    </row>
    <row r="8" customFormat="false" ht="45" hidden="false" customHeight="true" outlineLevel="0" collapsed="false">
      <c r="A8" s="3" t="n">
        <v>5</v>
      </c>
      <c r="B8" s="4" t="s">
        <v>23</v>
      </c>
      <c r="C8" s="5" t="s">
        <v>24</v>
      </c>
      <c r="D8" s="5" t="s">
        <v>25</v>
      </c>
      <c r="E8" s="3" t="s">
        <v>22</v>
      </c>
      <c r="F8" s="3" t="s">
        <v>12</v>
      </c>
      <c r="G8" s="5"/>
    </row>
    <row r="10" customFormat="false" ht="15" hidden="false" customHeight="false" outlineLevel="0" collapsed="false">
      <c r="B10" s="6" t="s">
        <v>26</v>
      </c>
      <c r="C10" s="7" t="str">
        <f aca="false">COUNTIF(F4:F8,"Done")&amp;" of "&amp;COUNTA(F4:F8)</f>
        <v>0 of 5</v>
      </c>
    </row>
    <row r="11" customFormat="false" ht="15" hidden="false" customHeight="false" outlineLevel="0" collapsed="false">
      <c r="B11" s="8" t="s">
        <v>27</v>
      </c>
    </row>
  </sheetData>
  <conditionalFormatting sqref="F4:F8">
    <cfRule type="cellIs" priority="2" operator="equal" aboveAverage="0" equalAverage="0" bottom="0" percent="0" rank="0" text="" dxfId="0">
      <formula>"Not started"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"Done"</formula>
    </cfRule>
  </conditionalFormatting>
  <dataValidations count="1">
    <dataValidation allowBlank="true" error="Choose a value from the dropdown list." errorStyle="stop" errorTitle="Not a valid status" operator="between" prompt="Pick one: Not started, In progress, Blocked or Done." promptTitle="Status" showDropDown="false" showErrorMessage="true" showInputMessage="true" sqref="F4:F8" type="list">
      <formula1>StatusList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32"/>
    <col collapsed="false" customWidth="true" hidden="false" outlineLevel="0" max="5" min="5" style="0" width="14"/>
    <col collapsed="false" customWidth="true" hidden="false" outlineLevel="0" max="6" min="6" style="0" width="28"/>
  </cols>
  <sheetData>
    <row r="1" customFormat="false" ht="17.35" hidden="false" customHeight="false" outlineLevel="0" collapsed="false">
      <c r="A1" s="1" t="s">
        <v>28</v>
      </c>
    </row>
    <row r="3" customFormat="false" ht="15" hidden="false" customHeight="false" outlineLevel="0" collapsed="false">
      <c r="A3" s="2" t="s">
        <v>29</v>
      </c>
      <c r="B3" s="2" t="s">
        <v>30</v>
      </c>
      <c r="C3" s="2" t="s">
        <v>31</v>
      </c>
      <c r="D3" s="2" t="s">
        <v>32</v>
      </c>
      <c r="E3" s="2" t="s">
        <v>6</v>
      </c>
      <c r="F3" s="2" t="s">
        <v>7</v>
      </c>
    </row>
    <row r="4" customFormat="false" ht="30" hidden="false" customHeight="true" outlineLevel="0" collapsed="false">
      <c r="A4" s="9" t="s">
        <v>33</v>
      </c>
      <c r="B4" s="10" t="s">
        <v>34</v>
      </c>
      <c r="C4" s="10" t="s">
        <v>35</v>
      </c>
      <c r="D4" s="10" t="s">
        <v>36</v>
      </c>
      <c r="E4" s="11" t="s">
        <v>12</v>
      </c>
      <c r="F4" s="10"/>
    </row>
    <row r="5" customFormat="false" ht="30" hidden="false" customHeight="true" outlineLevel="0" collapsed="false">
      <c r="A5" s="9" t="s">
        <v>33</v>
      </c>
      <c r="B5" s="10" t="s">
        <v>34</v>
      </c>
      <c r="C5" s="10" t="s">
        <v>37</v>
      </c>
      <c r="D5" s="10" t="s">
        <v>36</v>
      </c>
      <c r="E5" s="11" t="s">
        <v>12</v>
      </c>
      <c r="F5" s="10"/>
    </row>
    <row r="6" customFormat="false" ht="30" hidden="false" customHeight="true" outlineLevel="0" collapsed="false">
      <c r="A6" s="9" t="s">
        <v>33</v>
      </c>
      <c r="B6" s="10" t="s">
        <v>34</v>
      </c>
      <c r="C6" s="10" t="s">
        <v>38</v>
      </c>
      <c r="D6" s="10" t="s">
        <v>36</v>
      </c>
      <c r="E6" s="11" t="s">
        <v>12</v>
      </c>
      <c r="F6" s="10"/>
    </row>
    <row r="7" customFormat="false" ht="30" hidden="false" customHeight="true" outlineLevel="0" collapsed="false">
      <c r="A7" s="12" t="s">
        <v>39</v>
      </c>
      <c r="B7" s="13" t="s">
        <v>18</v>
      </c>
      <c r="C7" s="13" t="s">
        <v>40</v>
      </c>
      <c r="D7" s="13" t="s">
        <v>41</v>
      </c>
      <c r="E7" s="14" t="s">
        <v>12</v>
      </c>
      <c r="F7" s="13"/>
    </row>
    <row r="8" customFormat="false" ht="30" hidden="false" customHeight="true" outlineLevel="0" collapsed="false">
      <c r="A8" s="12" t="s">
        <v>39</v>
      </c>
      <c r="B8" s="13" t="s">
        <v>18</v>
      </c>
      <c r="C8" s="13" t="s">
        <v>42</v>
      </c>
      <c r="D8" s="13" t="s">
        <v>41</v>
      </c>
      <c r="E8" s="14" t="s">
        <v>12</v>
      </c>
      <c r="F8" s="13"/>
    </row>
    <row r="9" customFormat="false" ht="30" hidden="false" customHeight="true" outlineLevel="0" collapsed="false">
      <c r="A9" s="12" t="s">
        <v>39</v>
      </c>
      <c r="B9" s="13" t="s">
        <v>18</v>
      </c>
      <c r="C9" s="13" t="s">
        <v>43</v>
      </c>
      <c r="D9" s="13" t="s">
        <v>41</v>
      </c>
      <c r="E9" s="14" t="s">
        <v>12</v>
      </c>
      <c r="F9" s="13"/>
    </row>
    <row r="10" customFormat="false" ht="30" hidden="false" customHeight="true" outlineLevel="0" collapsed="false">
      <c r="A10" s="15" t="s">
        <v>44</v>
      </c>
      <c r="B10" s="16" t="s">
        <v>45</v>
      </c>
      <c r="C10" s="16" t="s">
        <v>46</v>
      </c>
      <c r="D10" s="16" t="s">
        <v>47</v>
      </c>
      <c r="E10" s="17" t="s">
        <v>12</v>
      </c>
      <c r="F10" s="16"/>
    </row>
    <row r="11" customFormat="false" ht="30" hidden="false" customHeight="true" outlineLevel="0" collapsed="false">
      <c r="A11" s="15" t="s">
        <v>44</v>
      </c>
      <c r="B11" s="16" t="s">
        <v>45</v>
      </c>
      <c r="C11" s="16" t="s">
        <v>48</v>
      </c>
      <c r="D11" s="16" t="s">
        <v>47</v>
      </c>
      <c r="E11" s="17" t="s">
        <v>12</v>
      </c>
      <c r="F11" s="16"/>
    </row>
    <row r="12" customFormat="false" ht="30" hidden="false" customHeight="true" outlineLevel="0" collapsed="false">
      <c r="A12" s="15" t="s">
        <v>44</v>
      </c>
      <c r="B12" s="16" t="s">
        <v>45</v>
      </c>
      <c r="C12" s="16" t="s">
        <v>49</v>
      </c>
      <c r="D12" s="16" t="s">
        <v>47</v>
      </c>
      <c r="E12" s="17" t="s">
        <v>12</v>
      </c>
      <c r="F12" s="16"/>
    </row>
    <row r="13" customFormat="false" ht="30" hidden="false" customHeight="true" outlineLevel="0" collapsed="false">
      <c r="A13" s="18" t="s">
        <v>50</v>
      </c>
      <c r="B13" s="19" t="s">
        <v>51</v>
      </c>
      <c r="C13" s="19" t="s">
        <v>52</v>
      </c>
      <c r="D13" s="19" t="s">
        <v>53</v>
      </c>
      <c r="E13" s="20" t="s">
        <v>12</v>
      </c>
      <c r="F13" s="19"/>
    </row>
    <row r="14" customFormat="false" ht="30" hidden="false" customHeight="true" outlineLevel="0" collapsed="false">
      <c r="A14" s="18" t="s">
        <v>50</v>
      </c>
      <c r="B14" s="19" t="s">
        <v>51</v>
      </c>
      <c r="C14" s="19" t="s">
        <v>54</v>
      </c>
      <c r="D14" s="19" t="s">
        <v>53</v>
      </c>
      <c r="E14" s="20" t="s">
        <v>12</v>
      </c>
      <c r="F14" s="19"/>
    </row>
    <row r="15" customFormat="false" ht="30" hidden="false" customHeight="true" outlineLevel="0" collapsed="false">
      <c r="A15" s="18" t="s">
        <v>50</v>
      </c>
      <c r="B15" s="19" t="s">
        <v>51</v>
      </c>
      <c r="C15" s="19" t="s">
        <v>55</v>
      </c>
      <c r="D15" s="19" t="s">
        <v>53</v>
      </c>
      <c r="E15" s="20" t="s">
        <v>12</v>
      </c>
      <c r="F15" s="19"/>
    </row>
    <row r="16" customFormat="false" ht="30" hidden="false" customHeight="true" outlineLevel="0" collapsed="false">
      <c r="A16" s="18" t="s">
        <v>50</v>
      </c>
      <c r="B16" s="19" t="s">
        <v>51</v>
      </c>
      <c r="C16" s="19" t="s">
        <v>56</v>
      </c>
      <c r="D16" s="19" t="s">
        <v>53</v>
      </c>
      <c r="E16" s="20" t="s">
        <v>12</v>
      </c>
      <c r="F16" s="19"/>
    </row>
    <row r="17" customFormat="false" ht="30" hidden="false" customHeight="true" outlineLevel="0" collapsed="false">
      <c r="A17" s="18" t="s">
        <v>50</v>
      </c>
      <c r="B17" s="19" t="s">
        <v>51</v>
      </c>
      <c r="C17" s="19" t="s">
        <v>7</v>
      </c>
      <c r="D17" s="19" t="s">
        <v>53</v>
      </c>
      <c r="E17" s="20" t="s">
        <v>12</v>
      </c>
      <c r="F17" s="19"/>
    </row>
    <row r="18" customFormat="false" ht="30" hidden="false" customHeight="true" outlineLevel="0" collapsed="false">
      <c r="A18" s="18" t="s">
        <v>50</v>
      </c>
      <c r="B18" s="19" t="s">
        <v>51</v>
      </c>
      <c r="C18" s="19" t="s">
        <v>57</v>
      </c>
      <c r="D18" s="19" t="s">
        <v>53</v>
      </c>
      <c r="E18" s="20" t="s">
        <v>12</v>
      </c>
      <c r="F18" s="19"/>
    </row>
    <row r="19" customFormat="false" ht="30" hidden="false" customHeight="true" outlineLevel="0" collapsed="false">
      <c r="A19" s="18" t="s">
        <v>50</v>
      </c>
      <c r="B19" s="19" t="s">
        <v>51</v>
      </c>
      <c r="C19" s="19" t="s">
        <v>58</v>
      </c>
      <c r="D19" s="19" t="s">
        <v>53</v>
      </c>
      <c r="E19" s="20" t="s">
        <v>12</v>
      </c>
      <c r="F19" s="19"/>
    </row>
    <row r="20" customFormat="false" ht="30" hidden="false" customHeight="true" outlineLevel="0" collapsed="false">
      <c r="A20" s="21" t="s">
        <v>59</v>
      </c>
      <c r="B20" s="22" t="s">
        <v>60</v>
      </c>
      <c r="C20" s="22" t="s">
        <v>61</v>
      </c>
      <c r="D20" s="22" t="s">
        <v>62</v>
      </c>
      <c r="E20" s="23" t="s">
        <v>12</v>
      </c>
      <c r="F20" s="22"/>
    </row>
    <row r="21" customFormat="false" ht="30" hidden="false" customHeight="true" outlineLevel="0" collapsed="false">
      <c r="A21" s="21" t="s">
        <v>59</v>
      </c>
      <c r="B21" s="22" t="s">
        <v>60</v>
      </c>
      <c r="C21" s="22" t="s">
        <v>63</v>
      </c>
      <c r="D21" s="22" t="s">
        <v>62</v>
      </c>
      <c r="E21" s="23" t="s">
        <v>12</v>
      </c>
      <c r="F21" s="22"/>
    </row>
    <row r="22" customFormat="false" ht="30" hidden="false" customHeight="true" outlineLevel="0" collapsed="false">
      <c r="A22" s="21" t="s">
        <v>59</v>
      </c>
      <c r="B22" s="22" t="s">
        <v>60</v>
      </c>
      <c r="C22" s="22" t="s">
        <v>64</v>
      </c>
      <c r="D22" s="22" t="s">
        <v>62</v>
      </c>
      <c r="E22" s="23" t="s">
        <v>12</v>
      </c>
      <c r="F22" s="22"/>
    </row>
    <row r="23" customFormat="false" ht="30" hidden="false" customHeight="true" outlineLevel="0" collapsed="false">
      <c r="A23" s="21" t="s">
        <v>59</v>
      </c>
      <c r="B23" s="22" t="s">
        <v>60</v>
      </c>
      <c r="C23" s="22" t="s">
        <v>62</v>
      </c>
      <c r="D23" s="22" t="s">
        <v>62</v>
      </c>
      <c r="E23" s="23" t="s">
        <v>12</v>
      </c>
      <c r="F23" s="22"/>
    </row>
    <row r="25" customFormat="false" ht="15" hidden="false" customHeight="false" outlineLevel="0" collapsed="false">
      <c r="B25" s="6" t="s">
        <v>65</v>
      </c>
      <c r="C25" s="7" t="str">
        <f aca="false">COUNTIF(E4:E23,"Done")&amp;" of "&amp;COUNTA(E4:E23)</f>
        <v>0 of 20</v>
      </c>
    </row>
    <row r="26" customFormat="false" ht="15" hidden="false" customHeight="false" outlineLevel="0" collapsed="false">
      <c r="B26" s="6" t="s">
        <v>66</v>
      </c>
      <c r="C26" s="24" t="n">
        <f aca="false">COUNTIF(E4:E23,"Done")/COUNTA(E4:E23)</f>
        <v>0</v>
      </c>
    </row>
    <row r="27" customFormat="false" ht="15" hidden="false" customHeight="false" outlineLevel="0" collapsed="false">
      <c r="B27" s="8" t="s">
        <v>27</v>
      </c>
    </row>
  </sheetData>
  <conditionalFormatting sqref="E4:E23">
    <cfRule type="cellIs" priority="2" operator="equal" aboveAverage="0" equalAverage="0" bottom="0" percent="0" rank="0" text="" dxfId="0">
      <formula>"Not started"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"Done"</formula>
    </cfRule>
  </conditionalFormatting>
  <dataValidations count="1">
    <dataValidation allowBlank="true" error="Choose a value from the dropdown list." errorStyle="stop" errorTitle="Not a valid status" operator="between" prompt="Pick one: Not started, In progress, Blocked or Done." promptTitle="Status" showDropDown="false" showErrorMessage="true" showInputMessage="true" sqref="E4:E23" type="list">
      <formula1>StatusList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</cols>
  <sheetData>
    <row r="1" customFormat="false" ht="15" hidden="false" customHeight="false" outlineLevel="0" collapsed="false">
      <c r="A1" s="6" t="s">
        <v>6</v>
      </c>
      <c r="C1" s="8" t="s">
        <v>67</v>
      </c>
    </row>
    <row r="2" customFormat="false" ht="15" hidden="false" customHeight="false" outlineLevel="0" collapsed="false">
      <c r="A2" s="7" t="s">
        <v>12</v>
      </c>
    </row>
    <row r="3" customFormat="false" ht="15" hidden="false" customHeight="false" outlineLevel="0" collapsed="false">
      <c r="A3" s="7" t="s">
        <v>68</v>
      </c>
    </row>
    <row r="4" customFormat="false" ht="15" hidden="false" customHeight="false" outlineLevel="0" collapsed="false">
      <c r="A4" s="7" t="s">
        <v>69</v>
      </c>
    </row>
    <row r="5" customFormat="false" ht="15" hidden="false" customHeight="false" outlineLevel="0" collapsed="false">
      <c r="A5" s="7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2026-08-04T15:43:19Z</dcterms:created>
  <dc:creator>openpyxl</dc:creator>
  <dc:description/>
  <dc:language>en-US</dc:language>
  <cp:lastModifiedBy/>
  <dcterms:modified xsi:type="dcterms:W3CDTF">2026-08-04T15:43:19Z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